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emontfortuniversity-my.sharepoint.com/personal/p2763935_my365_dmu_ac_uk/Documents/Sandra_Aleksejeva/Starting Forms/"/>
    </mc:Choice>
  </mc:AlternateContent>
  <xr:revisionPtr revIDLastSave="38" documentId="8_{8958D4AA-99E2-42BF-ADC4-EC1E15E4DB10}" xr6:coauthVersionLast="47" xr6:coauthVersionMax="47" xr10:uidLastSave="{28BFF3BF-12F4-48B2-8BA0-70D43BC565FB}"/>
  <bookViews>
    <workbookView xWindow="-120" yWindow="-120" windowWidth="51840" windowHeight="2112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1" l="1"/>
  <c r="D9" i="11" l="1"/>
  <c r="H5" i="11" l="1"/>
  <c r="G33" i="11"/>
  <c r="G32" i="11"/>
  <c r="G28" i="11"/>
  <c r="G20" i="11"/>
  <c r="G12" i="11"/>
  <c r="G8" i="11"/>
  <c r="H6" i="11" l="1"/>
  <c r="G22" i="11" l="1"/>
  <c r="G21" i="11"/>
  <c r="G29" i="11"/>
  <c r="G23" i="11"/>
  <c r="I5" i="11"/>
  <c r="J5" i="11" s="1"/>
  <c r="K5" i="11" s="1"/>
  <c r="L5" i="11" s="1"/>
  <c r="M5" i="11" s="1"/>
  <c r="N5" i="11" s="1"/>
  <c r="O5" i="11" s="1"/>
  <c r="H4" i="11"/>
  <c r="G30" i="11" l="1"/>
  <c r="G31" i="11"/>
  <c r="O4" i="11"/>
  <c r="P5" i="11"/>
  <c r="Q5" i="11" s="1"/>
  <c r="R5" i="11" s="1"/>
  <c r="S5" i="11" s="1"/>
  <c r="T5" i="11" s="1"/>
  <c r="U5" i="11" s="1"/>
  <c r="V5" i="11" s="1"/>
  <c r="I6" i="11"/>
  <c r="G24" i="11" l="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 r="G9" i="11"/>
  <c r="D10" i="11"/>
  <c r="D11" i="11" l="1"/>
  <c r="E11" i="11" s="1"/>
  <c r="G10" i="11" l="1"/>
  <c r="G11" i="11" l="1"/>
  <c r="G13" i="11" l="1"/>
  <c r="G14" i="11" l="1"/>
  <c r="G18" i="11" l="1"/>
  <c r="G19" i="11"/>
</calcChain>
</file>

<file path=xl/sharedStrings.xml><?xml version="1.0" encoding="utf-8"?>
<sst xmlns="http://schemas.openxmlformats.org/spreadsheetml/2006/main" count="46" uniqueCount="46">
  <si>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</si>
  <si>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</si>
  <si>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</si>
  <si>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</si>
  <si>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</si>
  <si>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</si>
  <si>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</si>
  <si>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</si>
  <si>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</si>
  <si>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</si>
  <si>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</si>
  <si>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</si>
  <si>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</si>
  <si>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</si>
  <si>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</si>
  <si>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</si>
  <si>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</si>
  <si>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</si>
  <si>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</si>
  <si>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</si>
  <si>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</si>
  <si>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</si>
  <si>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 xml:space="preserve"> Project setup &amp; planning</t>
  </si>
  <si>
    <t>Evaluation &amp; reporting</t>
  </si>
  <si>
    <t>Define project scope</t>
  </si>
  <si>
    <t>Finalise project contract &amp; ethics</t>
  </si>
  <si>
    <t>SDS/REACH/CLP literature review</t>
  </si>
  <si>
    <t>Design chemical reference database (10–20 substances)</t>
  </si>
  <si>
    <t>Implement PDF text extraction &amp; section detection</t>
  </si>
  <si>
    <t>Implement section‑aware comparison logic</t>
  </si>
  <si>
    <t>Implement detailed analysis for Section 2</t>
  </si>
  <si>
    <t>Build local web interface (upload two SDS PDFs, show results)</t>
  </si>
  <si>
    <t>Populate chemical reference database</t>
  </si>
  <si>
    <t>Evaluate vs simple text comparison baseline</t>
  </si>
  <si>
    <t>Write report (methods, results, discussion)</t>
  </si>
  <si>
    <t>Viva preparation and demo rehearsal</t>
  </si>
  <si>
    <t>Create and maintain project Gantt schedule</t>
  </si>
  <si>
    <t>Use case and other design diagrams</t>
  </si>
  <si>
    <t>Review existing PDF/text comparison tools and simple text baselines</t>
  </si>
  <si>
    <t xml:space="preserve">Collect SDS PDFs and analyse SDS structure (focus on Section 2)
</t>
  </si>
  <si>
    <t>Design (including diagrams)</t>
  </si>
  <si>
    <t xml:space="preserve">Literature review </t>
  </si>
  <si>
    <t>Design system architecture and internal data structures</t>
  </si>
  <si>
    <t xml:space="preserve">Implementation </t>
  </si>
  <si>
    <t xml:space="preserve">Testing
</t>
  </si>
  <si>
    <t>Create synthetic SDS version pairs and run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</si>
</sst>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409]dd\-mmm\-yy;@"/>
  </numFmts>
  <fonts count="2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18" fillId="12" borderId="20" xfId="0" applyNumberFormat="1" applyFont="1" applyFill="1" applyBorder="1" applyAlignment="1">
      <alignment horizontal="center" vertical="center"/>
    </xf>
    <xf numFmtId="168" fontId="18" fillId="12" borderId="18" xfId="0" applyNumberFormat="1" applyFont="1" applyFill="1" applyBorder="1" applyAlignment="1">
      <alignment horizontal="center" vertical="center"/>
    </xf>
    <xf numFmtId="168" fontId="18" fillId="12" borderId="19" xfId="0" applyNumberFormat="1" applyFont="1" applyFill="1" applyBorder="1" applyAlignment="1">
      <alignment horizontal="center" vertical="center"/>
    </xf>
    <xf numFmtId="0" fontId="19" fillId="2" borderId="17"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9" fillId="2" borderId="15"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20" fillId="6" borderId="0" xfId="0" applyFont="1" applyFill="1" applyAlignment="1">
      <alignment horizontal="left" vertical="center" indent="1"/>
    </xf>
    <xf numFmtId="9" fontId="1" fillId="6" borderId="0" xfId="2" applyFont="1" applyFill="1" applyBorder="1" applyAlignment="1">
      <alignment horizontal="center" vertical="center"/>
    </xf>
    <xf numFmtId="165" fontId="16"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6" fillId="3" borderId="6" xfId="12" applyFont="1" applyFill="1" applyBorder="1">
      <alignment horizontal="left" vertical="center" indent="2"/>
    </xf>
    <xf numFmtId="9" fontId="1" fillId="3" borderId="6" xfId="2" applyFont="1" applyFill="1" applyBorder="1" applyAlignment="1">
      <alignment horizontal="center" vertical="center"/>
    </xf>
    <xf numFmtId="0" fontId="4" fillId="0" borderId="4" xfId="0" applyFont="1" applyBorder="1" applyAlignment="1">
      <alignment vertical="center"/>
    </xf>
    <xf numFmtId="0" fontId="16" fillId="3" borderId="7" xfId="12" applyFont="1" applyFill="1" applyBorder="1">
      <alignment horizontal="left" vertical="center" indent="2"/>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0" fillId="7" borderId="0" xfId="0" applyFont="1" applyFill="1" applyAlignment="1">
      <alignment horizontal="left" vertical="center" indent="1"/>
    </xf>
    <xf numFmtId="9" fontId="1" fillId="7" borderId="0" xfId="2" applyFont="1" applyFill="1" applyBorder="1" applyAlignment="1">
      <alignment horizontal="center" vertical="center"/>
    </xf>
    <xf numFmtId="0" fontId="16" fillId="4" borderId="5" xfId="12" applyFont="1" applyFill="1" applyBorder="1">
      <alignment horizontal="left" vertical="center" indent="2"/>
    </xf>
    <xf numFmtId="9" fontId="1" fillId="4" borderId="5" xfId="2" applyFont="1" applyFill="1" applyBorder="1" applyAlignment="1">
      <alignment horizontal="center" vertical="center"/>
    </xf>
    <xf numFmtId="0" fontId="20" fillId="8" borderId="0" xfId="0" applyFont="1" applyFill="1" applyAlignment="1">
      <alignment horizontal="left" vertical="center" indent="1"/>
    </xf>
    <xf numFmtId="9" fontId="1" fillId="8" borderId="0" xfId="2" applyFont="1" applyFill="1" applyBorder="1" applyAlignment="1">
      <alignment horizontal="center" vertical="center"/>
    </xf>
    <xf numFmtId="0" fontId="4" fillId="0" borderId="11" xfId="0" applyFont="1" applyBorder="1" applyAlignment="1">
      <alignment vertical="center"/>
    </xf>
    <xf numFmtId="0" fontId="16" fillId="5" borderId="8" xfId="12" applyFont="1" applyFill="1" applyBorder="1">
      <alignment horizontal="left" vertical="center" indent="2"/>
    </xf>
    <xf numFmtId="9" fontId="1" fillId="5" borderId="8" xfId="2" applyFont="1" applyFill="1" applyBorder="1" applyAlignment="1">
      <alignment horizontal="center" vertical="center"/>
    </xf>
    <xf numFmtId="0" fontId="20" fillId="9" borderId="0" xfId="0" applyFont="1" applyFill="1" applyAlignment="1">
      <alignment horizontal="left" vertical="center" indent="1"/>
    </xf>
    <xf numFmtId="9" fontId="1" fillId="9" borderId="0" xfId="2" applyFont="1" applyFill="1" applyBorder="1" applyAlignment="1">
      <alignment horizontal="center" vertical="center"/>
    </xf>
    <xf numFmtId="0" fontId="4" fillId="0" borderId="10" xfId="0" applyFont="1" applyBorder="1" applyAlignment="1">
      <alignment vertical="center"/>
    </xf>
    <xf numFmtId="0" fontId="16" fillId="10" borderId="9" xfId="12" applyFont="1" applyFill="1" applyBorder="1">
      <alignment horizontal="left" vertical="center" indent="2"/>
    </xf>
    <xf numFmtId="9" fontId="1" fillId="10" borderId="9" xfId="2" applyFont="1" applyFill="1" applyBorder="1" applyAlignment="1">
      <alignment horizontal="center" vertical="center"/>
    </xf>
    <xf numFmtId="0" fontId="16" fillId="0" borderId="0" xfId="12" applyFont="1" applyBorder="1">
      <alignment horizontal="left" vertical="center" indent="2"/>
    </xf>
    <xf numFmtId="9" fontId="1" fillId="0" borderId="0" xfId="2" applyFont="1" applyBorder="1" applyAlignment="1">
      <alignment horizontal="center" vertical="center"/>
    </xf>
    <xf numFmtId="165" fontId="16" fillId="0" borderId="0" xfId="10" applyFont="1" applyBorder="1">
      <alignment horizontal="center" vertical="center"/>
    </xf>
    <xf numFmtId="0" fontId="21" fillId="2" borderId="0" xfId="0" applyFont="1" applyFill="1" applyAlignment="1">
      <alignment horizontal="left" vertical="center" indent="1"/>
    </xf>
    <xf numFmtId="9" fontId="1" fillId="2" borderId="0" xfId="2" applyFont="1" applyFill="1" applyBorder="1" applyAlignment="1">
      <alignment horizontal="center" vertical="center"/>
    </xf>
    <xf numFmtId="165" fontId="22"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3" fillId="0" borderId="0" xfId="6" applyFont="1" applyAlignment="1">
      <alignment horizontal="left" vertical="center" indent="1"/>
    </xf>
    <xf numFmtId="0" fontId="26"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3" fillId="0" borderId="0" xfId="0" applyFont="1" applyAlignment="1">
      <alignment horizontal="left" vertical="center" indent="1"/>
    </xf>
    <xf numFmtId="0" fontId="27" fillId="0" borderId="0" xfId="0" applyFont="1" applyAlignment="1">
      <alignment horizontal="left" vertical="top" wrapText="1" indent="1"/>
    </xf>
    <xf numFmtId="0" fontId="0" fillId="0" borderId="0" xfId="0" applyAlignment="1">
      <alignment horizontal="left" vertical="top" wrapText="1" indent="1"/>
    </xf>
    <xf numFmtId="0" fontId="28" fillId="0" borderId="0" xfId="1" applyFont="1" applyAlignment="1" applyProtection="1">
      <alignment horizontal="left" vertical="top" indent="1"/>
    </xf>
    <xf numFmtId="0" fontId="1" fillId="0" borderId="0" xfId="0" applyFont="1" applyAlignment="1">
      <alignment horizontal="left" vertical="top" indent="1"/>
    </xf>
    <xf numFmtId="0" fontId="16" fillId="5" borderId="8" xfId="12" applyFont="1" applyFill="1" applyBorder="1" applyAlignment="1">
      <alignment horizontal="left" vertical="center" wrapText="1" indent="2"/>
    </xf>
    <xf numFmtId="169" fontId="16" fillId="3" borderId="6" xfId="10" applyNumberFormat="1" applyFont="1" applyFill="1" applyBorder="1">
      <alignment horizontal="center" vertical="center"/>
    </xf>
    <xf numFmtId="169" fontId="16" fillId="3" borderId="7" xfId="10" applyNumberFormat="1" applyFont="1" applyFill="1" applyBorder="1">
      <alignment horizontal="center" vertical="center"/>
    </xf>
    <xf numFmtId="169" fontId="1" fillId="7" borderId="0" xfId="0" applyNumberFormat="1" applyFont="1" applyFill="1" applyAlignment="1">
      <alignment horizontal="center" vertical="center"/>
    </xf>
    <xf numFmtId="169" fontId="16" fillId="4" borderId="5" xfId="10" applyNumberFormat="1" applyFont="1" applyFill="1" applyBorder="1">
      <alignment horizontal="center" vertical="center"/>
    </xf>
    <xf numFmtId="169" fontId="16" fillId="8" borderId="0" xfId="0" applyNumberFormat="1" applyFont="1" applyFill="1" applyAlignment="1">
      <alignment horizontal="center" vertical="center"/>
    </xf>
    <xf numFmtId="169" fontId="1" fillId="8" borderId="0" xfId="0" applyNumberFormat="1" applyFont="1" applyFill="1" applyAlignment="1">
      <alignment horizontal="center" vertical="center"/>
    </xf>
    <xf numFmtId="169" fontId="16" fillId="5" borderId="8" xfId="10" applyNumberFormat="1" applyFont="1" applyFill="1" applyBorder="1">
      <alignment horizontal="center" vertical="center"/>
    </xf>
    <xf numFmtId="169" fontId="16" fillId="9" borderId="0" xfId="0" applyNumberFormat="1" applyFont="1" applyFill="1" applyAlignment="1">
      <alignment horizontal="center" vertical="center"/>
    </xf>
    <xf numFmtId="169" fontId="1" fillId="9" borderId="0" xfId="0" applyNumberFormat="1" applyFont="1" applyFill="1" applyAlignment="1">
      <alignment horizontal="center" vertical="center"/>
    </xf>
    <xf numFmtId="169" fontId="16" fillId="10" borderId="9" xfId="10" applyNumberFormat="1" applyFont="1" applyFill="1" applyBorder="1">
      <alignment horizontal="center" vertical="center"/>
    </xf>
    <xf numFmtId="0" fontId="16" fillId="4" borderId="5" xfId="12" applyFont="1" applyFill="1" applyBorder="1" applyAlignment="1">
      <alignment horizontal="left" vertical="center" wrapText="1" indent="2"/>
    </xf>
    <xf numFmtId="0" fontId="11" fillId="0" borderId="0" xfId="3" applyAlignment="1">
      <alignment wrapText="1"/>
    </xf>
    <xf numFmtId="0" fontId="17"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7" fillId="11" borderId="16" xfId="0" applyFont="1" applyFill="1" applyBorder="1" applyAlignment="1">
      <alignment horizontal="center" vertical="center"/>
    </xf>
    <xf numFmtId="0" fontId="4" fillId="2" borderId="21" xfId="0" applyFont="1" applyFill="1" applyBorder="1"/>
    <xf numFmtId="0" fontId="24" fillId="0" borderId="0" xfId="0" applyFont="1" applyAlignment="1">
      <alignment horizontal="left"/>
    </xf>
    <xf numFmtId="0" fontId="25" fillId="0" borderId="0" xfId="0" applyFont="1"/>
    <xf numFmtId="166" fontId="24" fillId="0" borderId="0" xfId="9" applyFont="1" applyBorder="1" applyAlignment="1">
      <alignment horizontal="left"/>
    </xf>
    <xf numFmtId="0" fontId="23" fillId="0" borderId="0" xfId="8" applyFont="1" applyAlignment="1">
      <alignment horizontal="left"/>
    </xf>
    <xf numFmtId="0" fontId="4" fillId="0" borderId="0" xfId="0" applyFont="1"/>
    <xf numFmtId="167" fontId="16" fillId="2" borderId="13" xfId="0" applyNumberFormat="1" applyFont="1" applyFill="1" applyBorder="1" applyAlignment="1">
      <alignment horizontal="center" vertical="center" wrapText="1"/>
    </xf>
    <xf numFmtId="167" fontId="16" fillId="2" borderId="19" xfId="0" applyNumberFormat="1" applyFont="1" applyFill="1" applyBorder="1" applyAlignment="1">
      <alignment horizontal="center" vertical="center" wrapText="1"/>
    </xf>
    <xf numFmtId="167" fontId="16"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5"/>
  <sheetViews>
    <sheetView showGridLines="0" tabSelected="1" showRuler="0" topLeftCell="A2" zoomScale="85" zoomScaleNormal="85" zoomScalePageLayoutView="70" workbookViewId="0">
      <selection activeCell="AD22" sqref="AD22"/>
    </sheetView>
  </sheetViews>
  <sheetFormatPr defaultColWidth="8.75" defaultRowHeight="30" customHeight="1" x14ac:dyDescent="0.2"/>
  <cols>
    <col min="1" max="1" width="2.75" style="12" customWidth="1"/>
    <col min="2" max="2" width="22.75" customWidth="1"/>
    <col min="3" max="3" width="10.75" customWidth="1"/>
    <col min="4" max="4" width="10.75" style="2" customWidth="1"/>
    <col min="5" max="5" width="10.75" customWidth="1"/>
    <col min="6" max="6" width="2.75" customWidth="1"/>
    <col min="7" max="7" width="6" hidden="1" customWidth="1"/>
    <col min="8" max="64" width="2.75" customWidth="1"/>
  </cols>
  <sheetData>
    <row r="1" spans="1:63" ht="90" customHeight="1" x14ac:dyDescent="1.1000000000000001">
      <c r="A1" s="13"/>
      <c r="B1" s="70"/>
      <c r="C1" s="16"/>
      <c r="D1" s="17"/>
      <c r="E1" s="18"/>
      <c r="G1" s="1"/>
      <c r="H1" s="98" t="s">
        <v>20</v>
      </c>
      <c r="I1" s="99"/>
      <c r="J1" s="99"/>
      <c r="K1" s="99"/>
      <c r="L1" s="99"/>
      <c r="M1" s="99"/>
      <c r="N1" s="99"/>
      <c r="O1" s="21"/>
      <c r="P1" s="97">
        <v>46087</v>
      </c>
      <c r="Q1" s="96"/>
      <c r="R1" s="96"/>
      <c r="S1" s="96"/>
      <c r="T1" s="96"/>
      <c r="U1" s="96"/>
      <c r="V1" s="96"/>
      <c r="W1" s="96"/>
      <c r="X1" s="96"/>
      <c r="Y1" s="96"/>
    </row>
    <row r="2" spans="1:63" ht="30" customHeight="1" x14ac:dyDescent="0.5">
      <c r="B2" s="69"/>
      <c r="C2" s="19"/>
      <c r="D2" s="20"/>
      <c r="E2" s="19"/>
      <c r="H2" s="98" t="s">
        <v>21</v>
      </c>
      <c r="I2" s="99"/>
      <c r="J2" s="99"/>
      <c r="K2" s="99"/>
      <c r="L2" s="99"/>
      <c r="M2" s="99"/>
      <c r="N2" s="99"/>
      <c r="O2" s="21"/>
      <c r="P2" s="95">
        <v>4</v>
      </c>
      <c r="Q2" s="96"/>
      <c r="R2" s="96"/>
      <c r="S2" s="96"/>
      <c r="T2" s="96"/>
      <c r="U2" s="96"/>
      <c r="V2" s="96"/>
      <c r="W2" s="96"/>
      <c r="X2" s="96"/>
      <c r="Y2" s="96"/>
    </row>
    <row r="3" spans="1:63" s="23" customFormat="1" ht="30" customHeight="1" x14ac:dyDescent="0.25">
      <c r="A3" s="12"/>
      <c r="B3" s="22"/>
      <c r="C3" s="24"/>
      <c r="D3" s="25"/>
    </row>
    <row r="4" spans="1:63" s="23" customFormat="1" ht="30" customHeight="1" x14ac:dyDescent="0.2">
      <c r="A4" s="13"/>
      <c r="B4"/>
      <c r="D4" s="26"/>
      <c r="H4" s="102">
        <f>H5</f>
        <v>46104</v>
      </c>
      <c r="I4" s="100"/>
      <c r="J4" s="100"/>
      <c r="K4" s="100"/>
      <c r="L4" s="100"/>
      <c r="M4" s="100"/>
      <c r="N4" s="100"/>
      <c r="O4" s="100">
        <f>O5</f>
        <v>46111</v>
      </c>
      <c r="P4" s="100"/>
      <c r="Q4" s="100"/>
      <c r="R4" s="100"/>
      <c r="S4" s="100"/>
      <c r="T4" s="100"/>
      <c r="U4" s="100"/>
      <c r="V4" s="100">
        <f>V5</f>
        <v>46118</v>
      </c>
      <c r="W4" s="100"/>
      <c r="X4" s="100"/>
      <c r="Y4" s="100"/>
      <c r="Z4" s="100"/>
      <c r="AA4" s="100"/>
      <c r="AB4" s="100"/>
      <c r="AC4" s="100">
        <f>AC5</f>
        <v>46125</v>
      </c>
      <c r="AD4" s="100"/>
      <c r="AE4" s="100"/>
      <c r="AF4" s="100"/>
      <c r="AG4" s="100"/>
      <c r="AH4" s="100"/>
      <c r="AI4" s="100"/>
      <c r="AJ4" s="100">
        <f>AJ5</f>
        <v>46132</v>
      </c>
      <c r="AK4" s="100"/>
      <c r="AL4" s="100"/>
      <c r="AM4" s="100"/>
      <c r="AN4" s="100"/>
      <c r="AO4" s="100"/>
      <c r="AP4" s="100"/>
      <c r="AQ4" s="100">
        <f>AQ5</f>
        <v>46139</v>
      </c>
      <c r="AR4" s="100"/>
      <c r="AS4" s="100"/>
      <c r="AT4" s="100"/>
      <c r="AU4" s="100"/>
      <c r="AV4" s="100"/>
      <c r="AW4" s="100"/>
      <c r="AX4" s="100">
        <f>AX5</f>
        <v>46146</v>
      </c>
      <c r="AY4" s="100"/>
      <c r="AZ4" s="100"/>
      <c r="BA4" s="100"/>
      <c r="BB4" s="100"/>
      <c r="BC4" s="100"/>
      <c r="BD4" s="100"/>
      <c r="BE4" s="100">
        <f>BE5</f>
        <v>46153</v>
      </c>
      <c r="BF4" s="100"/>
      <c r="BG4" s="100"/>
      <c r="BH4" s="100"/>
      <c r="BI4" s="100"/>
      <c r="BJ4" s="100"/>
      <c r="BK4" s="101"/>
    </row>
    <row r="5" spans="1:63" s="23" customFormat="1" ht="15" customHeight="1" x14ac:dyDescent="0.2">
      <c r="A5" s="90"/>
      <c r="B5" s="91" t="s">
        <v>5</v>
      </c>
      <c r="C5" s="93" t="s">
        <v>1</v>
      </c>
      <c r="D5" s="93" t="s">
        <v>3</v>
      </c>
      <c r="E5" s="93" t="s">
        <v>4</v>
      </c>
      <c r="H5" s="27">
        <f>Project_Start-WEEKDAY(Project_Start,1)+2+7*(Display_Week-1)</f>
        <v>46104</v>
      </c>
      <c r="I5" s="27">
        <f>H5+1</f>
        <v>46105</v>
      </c>
      <c r="J5" s="27">
        <f t="shared" ref="J5:AW5" si="0">I5+1</f>
        <v>46106</v>
      </c>
      <c r="K5" s="27">
        <f t="shared" si="0"/>
        <v>46107</v>
      </c>
      <c r="L5" s="27">
        <f t="shared" si="0"/>
        <v>46108</v>
      </c>
      <c r="M5" s="27">
        <f t="shared" si="0"/>
        <v>46109</v>
      </c>
      <c r="N5" s="28">
        <f t="shared" si="0"/>
        <v>46110</v>
      </c>
      <c r="O5" s="29">
        <f>N5+1</f>
        <v>46111</v>
      </c>
      <c r="P5" s="27">
        <f>O5+1</f>
        <v>46112</v>
      </c>
      <c r="Q5" s="27">
        <f t="shared" si="0"/>
        <v>46113</v>
      </c>
      <c r="R5" s="27">
        <f t="shared" si="0"/>
        <v>46114</v>
      </c>
      <c r="S5" s="27">
        <f t="shared" si="0"/>
        <v>46115</v>
      </c>
      <c r="T5" s="27">
        <f t="shared" si="0"/>
        <v>46116</v>
      </c>
      <c r="U5" s="28">
        <f t="shared" si="0"/>
        <v>46117</v>
      </c>
      <c r="V5" s="29">
        <f>U5+1</f>
        <v>46118</v>
      </c>
      <c r="W5" s="27">
        <f>V5+1</f>
        <v>46119</v>
      </c>
      <c r="X5" s="27">
        <f t="shared" si="0"/>
        <v>46120</v>
      </c>
      <c r="Y5" s="27">
        <f t="shared" si="0"/>
        <v>46121</v>
      </c>
      <c r="Z5" s="27">
        <f t="shared" si="0"/>
        <v>46122</v>
      </c>
      <c r="AA5" s="27">
        <f t="shared" si="0"/>
        <v>46123</v>
      </c>
      <c r="AB5" s="28">
        <f t="shared" si="0"/>
        <v>46124</v>
      </c>
      <c r="AC5" s="29">
        <f>AB5+1</f>
        <v>46125</v>
      </c>
      <c r="AD5" s="27">
        <f>AC5+1</f>
        <v>46126</v>
      </c>
      <c r="AE5" s="27">
        <f t="shared" si="0"/>
        <v>46127</v>
      </c>
      <c r="AF5" s="27">
        <f t="shared" si="0"/>
        <v>46128</v>
      </c>
      <c r="AG5" s="27">
        <f t="shared" si="0"/>
        <v>46129</v>
      </c>
      <c r="AH5" s="27">
        <f t="shared" si="0"/>
        <v>46130</v>
      </c>
      <c r="AI5" s="28">
        <f t="shared" si="0"/>
        <v>46131</v>
      </c>
      <c r="AJ5" s="29">
        <f>AI5+1</f>
        <v>46132</v>
      </c>
      <c r="AK5" s="27">
        <f>AJ5+1</f>
        <v>46133</v>
      </c>
      <c r="AL5" s="27">
        <f t="shared" si="0"/>
        <v>46134</v>
      </c>
      <c r="AM5" s="27">
        <f t="shared" si="0"/>
        <v>46135</v>
      </c>
      <c r="AN5" s="27">
        <f t="shared" si="0"/>
        <v>46136</v>
      </c>
      <c r="AO5" s="27">
        <f t="shared" si="0"/>
        <v>46137</v>
      </c>
      <c r="AP5" s="28">
        <f t="shared" si="0"/>
        <v>46138</v>
      </c>
      <c r="AQ5" s="29">
        <f>AP5+1</f>
        <v>46139</v>
      </c>
      <c r="AR5" s="27">
        <f>AQ5+1</f>
        <v>46140</v>
      </c>
      <c r="AS5" s="27">
        <f t="shared" si="0"/>
        <v>46141</v>
      </c>
      <c r="AT5" s="27">
        <f t="shared" si="0"/>
        <v>46142</v>
      </c>
      <c r="AU5" s="27">
        <f t="shared" si="0"/>
        <v>46143</v>
      </c>
      <c r="AV5" s="27">
        <f t="shared" si="0"/>
        <v>46144</v>
      </c>
      <c r="AW5" s="28">
        <f t="shared" si="0"/>
        <v>46145</v>
      </c>
      <c r="AX5" s="29">
        <f>AW5+1</f>
        <v>46146</v>
      </c>
      <c r="AY5" s="27">
        <f>AX5+1</f>
        <v>46147</v>
      </c>
      <c r="AZ5" s="27">
        <f t="shared" ref="AZ5:BD5" si="1">AY5+1</f>
        <v>46148</v>
      </c>
      <c r="BA5" s="27">
        <f t="shared" si="1"/>
        <v>46149</v>
      </c>
      <c r="BB5" s="27">
        <f t="shared" si="1"/>
        <v>46150</v>
      </c>
      <c r="BC5" s="27">
        <f t="shared" si="1"/>
        <v>46151</v>
      </c>
      <c r="BD5" s="28">
        <f t="shared" si="1"/>
        <v>46152</v>
      </c>
      <c r="BE5" s="29">
        <f>BD5+1</f>
        <v>46153</v>
      </c>
      <c r="BF5" s="27">
        <f>BE5+1</f>
        <v>46154</v>
      </c>
      <c r="BG5" s="27">
        <f t="shared" ref="BG5:BK5" si="2">BF5+1</f>
        <v>46155</v>
      </c>
      <c r="BH5" s="27">
        <f t="shared" si="2"/>
        <v>46156</v>
      </c>
      <c r="BI5" s="27">
        <f t="shared" si="2"/>
        <v>46157</v>
      </c>
      <c r="BJ5" s="27">
        <f t="shared" si="2"/>
        <v>46158</v>
      </c>
      <c r="BK5" s="27">
        <f t="shared" si="2"/>
        <v>46159</v>
      </c>
    </row>
    <row r="6" spans="1:63" s="23" customFormat="1" ht="15" thickBot="1" x14ac:dyDescent="0.25">
      <c r="A6" s="90"/>
      <c r="B6" s="92"/>
      <c r="C6" s="94"/>
      <c r="D6" s="94"/>
      <c r="E6" s="94"/>
      <c r="H6" s="30" t="str">
        <f t="shared" ref="H6:AM6" si="3">LEFT(TEXT(H5,"ddd"),1)</f>
        <v>M</v>
      </c>
      <c r="I6" s="31" t="str">
        <f t="shared" si="3"/>
        <v>T</v>
      </c>
      <c r="J6" s="31" t="str">
        <f t="shared" si="3"/>
        <v>W</v>
      </c>
      <c r="K6" s="31" t="str">
        <f t="shared" si="3"/>
        <v>T</v>
      </c>
      <c r="L6" s="31" t="str">
        <f t="shared" si="3"/>
        <v>F</v>
      </c>
      <c r="M6" s="31" t="str">
        <f t="shared" si="3"/>
        <v>S</v>
      </c>
      <c r="N6" s="31" t="str">
        <f t="shared" si="3"/>
        <v>S</v>
      </c>
      <c r="O6" s="31" t="str">
        <f t="shared" si="3"/>
        <v>M</v>
      </c>
      <c r="P6" s="31" t="str">
        <f t="shared" si="3"/>
        <v>T</v>
      </c>
      <c r="Q6" s="31" t="str">
        <f t="shared" si="3"/>
        <v>W</v>
      </c>
      <c r="R6" s="31" t="str">
        <f t="shared" si="3"/>
        <v>T</v>
      </c>
      <c r="S6" s="31" t="str">
        <f t="shared" si="3"/>
        <v>F</v>
      </c>
      <c r="T6" s="31" t="str">
        <f t="shared" si="3"/>
        <v>S</v>
      </c>
      <c r="U6" s="31" t="str">
        <f t="shared" si="3"/>
        <v>S</v>
      </c>
      <c r="V6" s="31" t="str">
        <f t="shared" si="3"/>
        <v>M</v>
      </c>
      <c r="W6" s="31" t="str">
        <f t="shared" si="3"/>
        <v>T</v>
      </c>
      <c r="X6" s="31" t="str">
        <f t="shared" si="3"/>
        <v>W</v>
      </c>
      <c r="Y6" s="31" t="str">
        <f t="shared" si="3"/>
        <v>T</v>
      </c>
      <c r="Z6" s="31" t="str">
        <f t="shared" si="3"/>
        <v>F</v>
      </c>
      <c r="AA6" s="31" t="str">
        <f t="shared" si="3"/>
        <v>S</v>
      </c>
      <c r="AB6" s="31" t="str">
        <f t="shared" si="3"/>
        <v>S</v>
      </c>
      <c r="AC6" s="31" t="str">
        <f t="shared" si="3"/>
        <v>M</v>
      </c>
      <c r="AD6" s="31" t="str">
        <f t="shared" si="3"/>
        <v>T</v>
      </c>
      <c r="AE6" s="31" t="str">
        <f t="shared" si="3"/>
        <v>W</v>
      </c>
      <c r="AF6" s="31" t="str">
        <f t="shared" si="3"/>
        <v>T</v>
      </c>
      <c r="AG6" s="31" t="str">
        <f t="shared" si="3"/>
        <v>F</v>
      </c>
      <c r="AH6" s="31" t="str">
        <f t="shared" si="3"/>
        <v>S</v>
      </c>
      <c r="AI6" s="31" t="str">
        <f t="shared" si="3"/>
        <v>S</v>
      </c>
      <c r="AJ6" s="31" t="str">
        <f t="shared" si="3"/>
        <v>M</v>
      </c>
      <c r="AK6" s="31" t="str">
        <f t="shared" si="3"/>
        <v>T</v>
      </c>
      <c r="AL6" s="31" t="str">
        <f t="shared" si="3"/>
        <v>W</v>
      </c>
      <c r="AM6" s="31" t="str">
        <f t="shared" si="3"/>
        <v>T</v>
      </c>
      <c r="AN6" s="31" t="str">
        <f t="shared" ref="AN6:BK6" si="4">LEFT(TEXT(AN5,"ddd"),1)</f>
        <v>F</v>
      </c>
      <c r="AO6" s="31" t="str">
        <f t="shared" si="4"/>
        <v>S</v>
      </c>
      <c r="AP6" s="31" t="str">
        <f t="shared" si="4"/>
        <v>S</v>
      </c>
      <c r="AQ6" s="31" t="str">
        <f t="shared" si="4"/>
        <v>M</v>
      </c>
      <c r="AR6" s="31" t="str">
        <f t="shared" si="4"/>
        <v>T</v>
      </c>
      <c r="AS6" s="31" t="str">
        <f t="shared" si="4"/>
        <v>W</v>
      </c>
      <c r="AT6" s="31" t="str">
        <f t="shared" si="4"/>
        <v>T</v>
      </c>
      <c r="AU6" s="31" t="str">
        <f t="shared" si="4"/>
        <v>F</v>
      </c>
      <c r="AV6" s="31" t="str">
        <f t="shared" si="4"/>
        <v>S</v>
      </c>
      <c r="AW6" s="31" t="str">
        <f t="shared" si="4"/>
        <v>S</v>
      </c>
      <c r="AX6" s="31" t="str">
        <f t="shared" si="4"/>
        <v>M</v>
      </c>
      <c r="AY6" s="31" t="str">
        <f t="shared" si="4"/>
        <v>T</v>
      </c>
      <c r="AZ6" s="31" t="str">
        <f t="shared" si="4"/>
        <v>W</v>
      </c>
      <c r="BA6" s="31" t="str">
        <f t="shared" si="4"/>
        <v>T</v>
      </c>
      <c r="BB6" s="31" t="str">
        <f t="shared" si="4"/>
        <v>F</v>
      </c>
      <c r="BC6" s="31" t="str">
        <f t="shared" si="4"/>
        <v>S</v>
      </c>
      <c r="BD6" s="31" t="str">
        <f t="shared" si="4"/>
        <v>S</v>
      </c>
      <c r="BE6" s="31" t="str">
        <f t="shared" si="4"/>
        <v>M</v>
      </c>
      <c r="BF6" s="31" t="str">
        <f t="shared" si="4"/>
        <v>T</v>
      </c>
      <c r="BG6" s="31" t="str">
        <f t="shared" si="4"/>
        <v>W</v>
      </c>
      <c r="BH6" s="31" t="str">
        <f t="shared" si="4"/>
        <v>T</v>
      </c>
      <c r="BI6" s="31" t="str">
        <f t="shared" si="4"/>
        <v>F</v>
      </c>
      <c r="BJ6" s="31" t="str">
        <f t="shared" si="4"/>
        <v>S</v>
      </c>
      <c r="BK6" s="32" t="str">
        <f t="shared" si="4"/>
        <v>S</v>
      </c>
    </row>
    <row r="7" spans="1:63" s="23" customFormat="1" ht="30" hidden="1" customHeight="1" thickBot="1" x14ac:dyDescent="0.25">
      <c r="A7" s="12" t="s">
        <v>19</v>
      </c>
      <c r="B7" s="33"/>
      <c r="C7" s="33"/>
      <c r="D7" s="33"/>
      <c r="E7" s="33"/>
      <c r="G7" s="23" t="str">
        <f>IF(OR(ISBLANK(task_start),ISBLANK(task_end)),"",task_end-task_start+1)</f>
        <v/>
      </c>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row>
    <row r="8" spans="1:63" s="40" customFormat="1" ht="30" customHeight="1" thickBot="1" x14ac:dyDescent="0.25">
      <c r="A8" s="13"/>
      <c r="B8" s="35" t="s">
        <v>22</v>
      </c>
      <c r="C8" s="36"/>
      <c r="D8" s="37"/>
      <c r="E8" s="38"/>
      <c r="F8" s="15"/>
      <c r="G8" s="4" t="str">
        <f t="shared" ref="G8:G33" si="5">IF(OR(ISBLANK(task_start),ISBLANK(task_end)),"",task_end-task_start+1)</f>
        <v/>
      </c>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s="40" customFormat="1" ht="30" customHeight="1" thickBot="1" x14ac:dyDescent="0.25">
      <c r="A9" s="13"/>
      <c r="B9" s="41" t="s">
        <v>24</v>
      </c>
      <c r="C9" s="42">
        <v>1</v>
      </c>
      <c r="D9" s="79">
        <f>Project_Start</f>
        <v>46087</v>
      </c>
      <c r="E9" s="79">
        <v>46087</v>
      </c>
      <c r="F9" s="15"/>
      <c r="G9" s="4">
        <f t="shared" si="5"/>
        <v>1</v>
      </c>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row>
    <row r="10" spans="1:63" s="40" customFormat="1" ht="30" customHeight="1" thickBot="1" x14ac:dyDescent="0.25">
      <c r="A10" s="13"/>
      <c r="B10" s="44" t="s">
        <v>25</v>
      </c>
      <c r="C10" s="45">
        <v>1</v>
      </c>
      <c r="D10" s="80">
        <f>E9</f>
        <v>46087</v>
      </c>
      <c r="E10" s="80">
        <v>46092</v>
      </c>
      <c r="F10" s="15"/>
      <c r="G10" s="4">
        <f t="shared" si="5"/>
        <v>6</v>
      </c>
      <c r="H10" s="43"/>
      <c r="I10" s="43"/>
      <c r="J10" s="43"/>
      <c r="K10" s="43"/>
      <c r="L10" s="43"/>
      <c r="M10" s="43"/>
      <c r="N10" s="43"/>
      <c r="O10" s="43"/>
      <c r="P10" s="43"/>
      <c r="Q10" s="43"/>
      <c r="R10" s="43"/>
      <c r="S10" s="43"/>
      <c r="T10" s="46"/>
      <c r="U10" s="46"/>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row>
    <row r="11" spans="1:63" s="40" customFormat="1" ht="30" customHeight="1" thickBot="1" x14ac:dyDescent="0.25">
      <c r="A11" s="12"/>
      <c r="B11" s="44" t="s">
        <v>36</v>
      </c>
      <c r="C11" s="45">
        <v>1</v>
      </c>
      <c r="D11" s="80">
        <f>E10</f>
        <v>46092</v>
      </c>
      <c r="E11" s="80">
        <f>D11+2</f>
        <v>46094</v>
      </c>
      <c r="F11" s="15"/>
      <c r="G11" s="4">
        <f t="shared" si="5"/>
        <v>3</v>
      </c>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row>
    <row r="12" spans="1:63" s="40" customFormat="1" ht="30" customHeight="1" thickBot="1" x14ac:dyDescent="0.25">
      <c r="A12" s="13"/>
      <c r="B12" s="47" t="s">
        <v>41</v>
      </c>
      <c r="C12" s="48"/>
      <c r="D12" s="48"/>
      <c r="E12" s="81"/>
      <c r="F12" s="15"/>
      <c r="G12" s="4" t="str">
        <f t="shared" si="5"/>
        <v/>
      </c>
    </row>
    <row r="13" spans="1:63" s="40" customFormat="1" ht="30" customHeight="1" thickBot="1" x14ac:dyDescent="0.25">
      <c r="A13" s="13"/>
      <c r="B13" s="49" t="s">
        <v>26</v>
      </c>
      <c r="C13" s="50">
        <v>0.7</v>
      </c>
      <c r="D13" s="80">
        <v>46090</v>
      </c>
      <c r="E13" s="82">
        <v>46105</v>
      </c>
      <c r="F13" s="15"/>
      <c r="G13" s="4">
        <f t="shared" si="5"/>
        <v>16</v>
      </c>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row>
    <row r="14" spans="1:63" s="40" customFormat="1" ht="30" customHeight="1" thickBot="1" x14ac:dyDescent="0.25">
      <c r="A14" s="12"/>
      <c r="B14" s="49" t="s">
        <v>38</v>
      </c>
      <c r="C14" s="50">
        <v>1</v>
      </c>
      <c r="D14" s="80">
        <v>46092</v>
      </c>
      <c r="E14" s="82">
        <v>46109</v>
      </c>
      <c r="F14" s="15"/>
      <c r="G14" s="4">
        <f t="shared" si="5"/>
        <v>18</v>
      </c>
      <c r="H14" s="43"/>
      <c r="I14" s="43"/>
      <c r="J14" s="43"/>
      <c r="K14" s="43"/>
      <c r="L14" s="43"/>
      <c r="M14" s="43"/>
      <c r="N14" s="43"/>
      <c r="O14" s="43"/>
      <c r="P14" s="43"/>
      <c r="Q14" s="43"/>
      <c r="R14" s="43"/>
      <c r="S14" s="43"/>
      <c r="T14" s="46"/>
      <c r="U14" s="46"/>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row>
    <row r="15" spans="1:63" s="40" customFormat="1" ht="30" customHeight="1" thickBot="1" x14ac:dyDescent="0.25">
      <c r="A15" s="12"/>
      <c r="B15" s="89" t="s">
        <v>39</v>
      </c>
      <c r="C15" s="50">
        <v>1</v>
      </c>
      <c r="D15" s="80">
        <v>46097</v>
      </c>
      <c r="E15" s="82">
        <v>46112</v>
      </c>
      <c r="F15" s="15"/>
      <c r="G15" s="4"/>
      <c r="H15" s="43"/>
      <c r="I15" s="43"/>
      <c r="J15" s="43"/>
      <c r="K15" s="43"/>
      <c r="L15" s="43"/>
      <c r="M15" s="43"/>
      <c r="N15" s="43"/>
      <c r="O15" s="43"/>
      <c r="P15" s="43"/>
      <c r="Q15" s="43"/>
      <c r="R15" s="43"/>
      <c r="S15" s="43"/>
      <c r="T15" s="46"/>
      <c r="U15" s="46"/>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row>
    <row r="16" spans="1:63" s="40" customFormat="1" ht="30" customHeight="1" thickBot="1" x14ac:dyDescent="0.25">
      <c r="A16" s="12"/>
      <c r="B16" s="47" t="s">
        <v>40</v>
      </c>
      <c r="C16" s="48"/>
      <c r="D16" s="48"/>
      <c r="E16" s="81"/>
      <c r="F16" s="15"/>
      <c r="G16" s="4"/>
      <c r="H16" s="43"/>
      <c r="I16" s="43"/>
      <c r="J16" s="43"/>
      <c r="K16" s="43"/>
      <c r="L16" s="43"/>
      <c r="M16" s="43"/>
      <c r="N16" s="43"/>
      <c r="O16" s="43"/>
      <c r="P16" s="43"/>
      <c r="Q16" s="43"/>
      <c r="R16" s="43"/>
      <c r="S16" s="43"/>
      <c r="T16" s="46"/>
      <c r="U16" s="46"/>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row>
    <row r="17" spans="1:63" s="40" customFormat="1" ht="30" customHeight="1" thickBot="1" x14ac:dyDescent="0.25">
      <c r="A17" s="12"/>
      <c r="B17" s="49" t="s">
        <v>42</v>
      </c>
      <c r="C17" s="50">
        <v>1</v>
      </c>
      <c r="D17" s="80">
        <v>46104</v>
      </c>
      <c r="E17" s="82">
        <v>46118</v>
      </c>
      <c r="F17" s="15"/>
      <c r="G17" s="4"/>
      <c r="H17" s="43"/>
      <c r="I17" s="43"/>
      <c r="J17" s="43"/>
      <c r="K17" s="43"/>
      <c r="L17" s="43"/>
      <c r="M17" s="43"/>
      <c r="N17" s="43"/>
      <c r="O17" s="43"/>
      <c r="P17" s="43"/>
      <c r="Q17" s="43"/>
      <c r="R17" s="43"/>
      <c r="S17" s="43"/>
      <c r="T17" s="46"/>
      <c r="U17" s="46"/>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row>
    <row r="18" spans="1:63" s="40" customFormat="1" ht="30" customHeight="1" thickBot="1" x14ac:dyDescent="0.25">
      <c r="A18" s="12"/>
      <c r="B18" s="49" t="s">
        <v>27</v>
      </c>
      <c r="C18" s="50">
        <v>0</v>
      </c>
      <c r="D18" s="80">
        <v>46104</v>
      </c>
      <c r="E18" s="82">
        <v>46118</v>
      </c>
      <c r="F18" s="15"/>
      <c r="G18" s="4">
        <f t="shared" si="5"/>
        <v>15</v>
      </c>
      <c r="H18" s="43"/>
      <c r="I18" s="43"/>
      <c r="J18" s="43"/>
      <c r="K18" s="43"/>
      <c r="L18" s="43"/>
      <c r="M18" s="43"/>
      <c r="N18" s="43"/>
      <c r="O18" s="43"/>
      <c r="P18" s="43"/>
      <c r="Q18" s="43"/>
      <c r="R18" s="43"/>
      <c r="S18" s="43"/>
      <c r="T18" s="43"/>
      <c r="U18" s="43"/>
      <c r="V18" s="43"/>
      <c r="W18" s="43"/>
      <c r="X18" s="46"/>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row>
    <row r="19" spans="1:63" s="40" customFormat="1" ht="30" customHeight="1" thickBot="1" x14ac:dyDescent="0.25">
      <c r="A19" s="12"/>
      <c r="B19" s="49" t="s">
        <v>37</v>
      </c>
      <c r="C19" s="50">
        <v>0</v>
      </c>
      <c r="D19" s="80">
        <v>46106</v>
      </c>
      <c r="E19" s="82">
        <v>46119</v>
      </c>
      <c r="F19" s="15"/>
      <c r="G19" s="4">
        <f t="shared" si="5"/>
        <v>14</v>
      </c>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row>
    <row r="20" spans="1:63" s="40" customFormat="1" ht="30" customHeight="1" thickBot="1" x14ac:dyDescent="0.25">
      <c r="A20" s="12"/>
      <c r="B20" s="51" t="s">
        <v>43</v>
      </c>
      <c r="C20" s="52"/>
      <c r="D20" s="83"/>
      <c r="E20" s="84"/>
      <c r="F20" s="15"/>
      <c r="G20" s="4" t="str">
        <f t="shared" si="5"/>
        <v/>
      </c>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row>
    <row r="21" spans="1:63" s="40" customFormat="1" ht="30" customHeight="1" thickBot="1" x14ac:dyDescent="0.25">
      <c r="A21" s="12"/>
      <c r="B21" s="54" t="s">
        <v>28</v>
      </c>
      <c r="C21" s="55">
        <v>0</v>
      </c>
      <c r="D21" s="85">
        <v>46111</v>
      </c>
      <c r="E21" s="85">
        <v>46118</v>
      </c>
      <c r="F21" s="15"/>
      <c r="G21" s="4">
        <f t="shared" si="5"/>
        <v>8</v>
      </c>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row>
    <row r="22" spans="1:63" s="40" customFormat="1" ht="30" customHeight="1" thickBot="1" x14ac:dyDescent="0.25">
      <c r="A22" s="12"/>
      <c r="B22" s="54" t="s">
        <v>29</v>
      </c>
      <c r="C22" s="55">
        <v>0</v>
      </c>
      <c r="D22" s="85">
        <v>46128</v>
      </c>
      <c r="E22" s="85">
        <v>46139</v>
      </c>
      <c r="F22" s="15"/>
      <c r="G22" s="4">
        <f t="shared" si="5"/>
        <v>12</v>
      </c>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row>
    <row r="23" spans="1:63" s="40" customFormat="1" ht="30" customHeight="1" thickBot="1" x14ac:dyDescent="0.25">
      <c r="A23" s="12"/>
      <c r="B23" s="54" t="s">
        <v>30</v>
      </c>
      <c r="C23" s="55">
        <v>0</v>
      </c>
      <c r="D23" s="85">
        <v>46130</v>
      </c>
      <c r="E23" s="85">
        <v>46142</v>
      </c>
      <c r="F23" s="15"/>
      <c r="G23" s="4">
        <f t="shared" si="5"/>
        <v>13</v>
      </c>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row>
    <row r="24" spans="1:63" s="40" customFormat="1" ht="30" customHeight="1" thickBot="1" x14ac:dyDescent="0.25">
      <c r="A24" s="12"/>
      <c r="B24" s="54" t="s">
        <v>31</v>
      </c>
      <c r="C24" s="55">
        <v>0</v>
      </c>
      <c r="D24" s="85">
        <v>46134</v>
      </c>
      <c r="E24" s="85">
        <v>46146</v>
      </c>
      <c r="F24" s="15"/>
      <c r="G24" s="4">
        <f t="shared" si="5"/>
        <v>13</v>
      </c>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row>
    <row r="25" spans="1:63" s="40" customFormat="1" ht="30" customHeight="1" thickBot="1" x14ac:dyDescent="0.25">
      <c r="A25" s="12"/>
      <c r="B25" s="54" t="s">
        <v>32</v>
      </c>
      <c r="C25" s="55">
        <v>0</v>
      </c>
      <c r="D25" s="85">
        <v>46136</v>
      </c>
      <c r="E25" s="85">
        <v>46148</v>
      </c>
      <c r="F25" s="15"/>
      <c r="G25" s="4"/>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row>
    <row r="26" spans="1:63" s="40" customFormat="1" ht="30" customHeight="1" thickBot="1" x14ac:dyDescent="0.25">
      <c r="A26" s="12"/>
      <c r="B26" s="51" t="s">
        <v>44</v>
      </c>
      <c r="C26" s="52"/>
      <c r="D26" s="52"/>
      <c r="E26" s="52"/>
      <c r="F26" s="15"/>
      <c r="G26" s="4"/>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row>
    <row r="27" spans="1:63" s="40" customFormat="1" ht="30" customHeight="1" thickBot="1" x14ac:dyDescent="0.25">
      <c r="A27" s="12"/>
      <c r="B27" s="78" t="s">
        <v>45</v>
      </c>
      <c r="C27" s="55">
        <v>0</v>
      </c>
      <c r="D27" s="85">
        <v>46143</v>
      </c>
      <c r="E27" s="85">
        <v>46152</v>
      </c>
      <c r="F27" s="15"/>
      <c r="G27" s="4"/>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row>
    <row r="28" spans="1:63" s="40" customFormat="1" ht="30" customHeight="1" thickBot="1" x14ac:dyDescent="0.25">
      <c r="A28" s="12"/>
      <c r="B28" s="56" t="s">
        <v>23</v>
      </c>
      <c r="C28" s="57"/>
      <c r="D28" s="86"/>
      <c r="E28" s="87"/>
      <c r="F28" s="15"/>
      <c r="G28" s="4" t="str">
        <f t="shared" si="5"/>
        <v/>
      </c>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row>
    <row r="29" spans="1:63" s="40" customFormat="1" ht="30" customHeight="1" thickBot="1" x14ac:dyDescent="0.25">
      <c r="A29" s="12"/>
      <c r="B29" s="59" t="s">
        <v>33</v>
      </c>
      <c r="C29" s="60">
        <v>0</v>
      </c>
      <c r="D29" s="88">
        <v>46148</v>
      </c>
      <c r="E29" s="88">
        <v>46156</v>
      </c>
      <c r="F29" s="15"/>
      <c r="G29" s="4">
        <f t="shared" si="5"/>
        <v>9</v>
      </c>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row>
    <row r="30" spans="1:63" s="40" customFormat="1" ht="30" customHeight="1" thickBot="1" x14ac:dyDescent="0.25">
      <c r="A30" s="12"/>
      <c r="B30" s="59" t="s">
        <v>34</v>
      </c>
      <c r="C30" s="60">
        <v>0.1</v>
      </c>
      <c r="D30" s="88">
        <v>46143</v>
      </c>
      <c r="E30" s="88">
        <v>46162</v>
      </c>
      <c r="F30" s="15"/>
      <c r="G30" s="4">
        <f t="shared" si="5"/>
        <v>20</v>
      </c>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row>
    <row r="31" spans="1:63" s="40" customFormat="1" ht="30" customHeight="1" thickBot="1" x14ac:dyDescent="0.25">
      <c r="A31" s="12"/>
      <c r="B31" s="59" t="s">
        <v>35</v>
      </c>
      <c r="C31" s="60">
        <v>0</v>
      </c>
      <c r="D31" s="88">
        <v>46154</v>
      </c>
      <c r="E31" s="88">
        <v>46164</v>
      </c>
      <c r="F31" s="15"/>
      <c r="G31" s="4">
        <f t="shared" si="5"/>
        <v>11</v>
      </c>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row>
    <row r="32" spans="1:63" s="40" customFormat="1" ht="30" customHeight="1" thickBot="1" x14ac:dyDescent="0.25">
      <c r="A32" s="12"/>
      <c r="B32" s="61"/>
      <c r="C32" s="62"/>
      <c r="D32" s="63"/>
      <c r="E32" s="63"/>
      <c r="F32" s="15"/>
      <c r="G32" s="4" t="str">
        <f t="shared" si="5"/>
        <v/>
      </c>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row>
    <row r="33" spans="1:63" s="40" customFormat="1" ht="30" customHeight="1" thickBot="1" x14ac:dyDescent="0.25">
      <c r="A33" s="13"/>
      <c r="B33" s="64" t="s">
        <v>0</v>
      </c>
      <c r="C33" s="65"/>
      <c r="D33" s="66"/>
      <c r="E33" s="67"/>
      <c r="F33" s="15"/>
      <c r="G33" s="5" t="str">
        <f t="shared" si="5"/>
        <v/>
      </c>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row>
    <row r="34" spans="1:63" ht="30" customHeight="1" x14ac:dyDescent="0.2">
      <c r="F34" s="3"/>
    </row>
    <row r="35" spans="1:63" ht="30" customHeight="1" x14ac:dyDescent="0.2">
      <c r="E35" s="14"/>
    </row>
  </sheetData>
  <mergeCells count="17">
    <mergeCell ref="P2:Y2"/>
    <mergeCell ref="P1:Y1"/>
    <mergeCell ref="H1:N1"/>
    <mergeCell ref="H2:N2"/>
    <mergeCell ref="BE4:BK4"/>
    <mergeCell ref="H4:N4"/>
    <mergeCell ref="O4:U4"/>
    <mergeCell ref="V4:AB4"/>
    <mergeCell ref="AC4:AI4"/>
    <mergeCell ref="AJ4:AP4"/>
    <mergeCell ref="AQ4:AW4"/>
    <mergeCell ref="AX4:BD4"/>
    <mergeCell ref="A5:A6"/>
    <mergeCell ref="B5:B6"/>
    <mergeCell ref="C5:C6"/>
    <mergeCell ref="D5:D6"/>
    <mergeCell ref="E5:E6"/>
  </mergeCells>
  <conditionalFormatting sqref="D16">
    <cfRule type="dataBar" priority="1">
      <dataBar>
        <cfvo type="num" val="0"/>
        <cfvo type="num" val="1"/>
        <color theme="0"/>
      </dataBar>
      <extLst>
        <ext xmlns:x14="http://schemas.microsoft.com/office/spreadsheetml/2009/9/main" uri="{B025F937-C7B1-47D3-B67F-A62EFF666E3E}">
          <x14:id>{D6001F37-8441-47FD-BB17-9E350EC47FF3}</x14:id>
        </ext>
      </extLst>
    </cfRule>
  </conditionalFormatting>
  <conditionalFormatting sqref="D26:E26 D12 C7:C33">
    <cfRule type="dataBar" priority="24">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31">
    <cfRule type="expression" dxfId="8" priority="2">
      <formula>AND(TODAY()&gt;=H$5, TODAY()&lt;I$5)</formula>
    </cfRule>
  </conditionalFormatting>
  <conditionalFormatting sqref="H9:BK11">
    <cfRule type="expression" dxfId="7" priority="7">
      <formula>AND(task_start&lt;=H$5,ROUNDDOWN((task_end-task_start+1)*task_progress,0)+task_start-1&gt;=H$5)</formula>
    </cfRule>
    <cfRule type="expression" dxfId="6" priority="8" stopIfTrue="1">
      <formula>AND(task_end&gt;=H$5,task_start&lt;I$5)</formula>
    </cfRule>
  </conditionalFormatting>
  <conditionalFormatting sqref="H13:BK19">
    <cfRule type="expression" dxfId="5" priority="5">
      <formula>AND(task_start&lt;=H$5,ROUNDDOWN((task_end-task_start+1)*task_progress,0)+task_start-1&gt;=H$5)</formula>
    </cfRule>
    <cfRule type="expression" dxfId="4" priority="6" stopIfTrue="1">
      <formula>AND(task_end&gt;=H$5,task_start&lt;I$5)</formula>
    </cfRule>
  </conditionalFormatting>
  <conditionalFormatting sqref="H21:BK27">
    <cfRule type="expression" dxfId="3" priority="3">
      <formula>AND(task_start&lt;=H$5,ROUNDDOWN((task_end-task_start+1)*task_progress,0)+task_start-1&gt;=H$5)</formula>
    </cfRule>
    <cfRule type="expression" dxfId="2" priority="4" stopIfTrue="1">
      <formula>AND(task_end&gt;=H$5,task_start&lt;I$5)</formula>
    </cfRule>
  </conditionalFormatting>
  <conditionalFormatting sqref="H29:BK31">
    <cfRule type="expression" dxfId="1" priority="37">
      <formula>AND(task_start&lt;=H$5,ROUNDDOWN((task_end-task_start+1)*task_progress,0)+task_start-1&gt;=H$5)</formula>
    </cfRule>
    <cfRule type="expression" dxfId="0" priority="38" stopIfTrue="1">
      <formula>AND(task_end&gt;=H$5,task_start&lt;I$5)</formula>
    </cfRule>
  </conditionalFormatting>
  <dataValidations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8"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D6001F37-8441-47FD-BB17-9E350EC47FF3}">
            <x14:dataBar minLength="0" maxLength="100" gradient="0">
              <x14:cfvo type="num">
                <xm:f>0</xm:f>
              </x14:cfvo>
              <x14:cfvo type="num">
                <xm:f>1</xm:f>
              </x14:cfvo>
              <x14:negativeFillColor rgb="FFFF0000"/>
              <x14:axisColor rgb="FF000000"/>
            </x14:dataBar>
          </x14:cfRule>
          <xm:sqref>D16</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D26:E26 D12 C7:C33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6" customWidth="1"/>
    <col min="2" max="16384" width="9" style="1"/>
  </cols>
  <sheetData>
    <row r="1" spans="1:2" ht="46.5" customHeight="1" x14ac:dyDescent="0.2"/>
    <row r="2" spans="1:2" s="8" customFormat="1" ht="15.75" x14ac:dyDescent="0.2">
      <c r="A2" s="71" t="s">
        <v>8</v>
      </c>
      <c r="B2" s="7"/>
    </row>
    <row r="3" spans="1:2" s="10" customFormat="1" ht="27" customHeight="1" x14ac:dyDescent="0.2">
      <c r="A3" s="72"/>
      <c r="B3" s="11"/>
    </row>
    <row r="4" spans="1:2" s="9" customFormat="1" ht="31.5" x14ac:dyDescent="0.6">
      <c r="A4" s="73" t="s">
        <v>7</v>
      </c>
    </row>
    <row r="5" spans="1:2" ht="74.25" customHeight="1" x14ac:dyDescent="0.2">
      <c r="A5" s="74" t="s">
        <v>15</v>
      </c>
    </row>
    <row r="6" spans="1:2" ht="26.25" customHeight="1" x14ac:dyDescent="0.2">
      <c r="A6" s="73" t="s">
        <v>18</v>
      </c>
    </row>
    <row r="7" spans="1:2" s="6" customFormat="1" ht="205.15" customHeight="1" x14ac:dyDescent="0.2">
      <c r="A7" s="75" t="s">
        <v>17</v>
      </c>
    </row>
    <row r="8" spans="1:2" s="9" customFormat="1" ht="31.5" x14ac:dyDescent="0.6">
      <c r="A8" s="73" t="s">
        <v>9</v>
      </c>
    </row>
    <row r="9" spans="1:2" ht="57" x14ac:dyDescent="0.2">
      <c r="A9" s="74" t="s">
        <v>16</v>
      </c>
    </row>
    <row r="10" spans="1:2" s="6" customFormat="1" ht="28.15" customHeight="1" x14ac:dyDescent="0.2">
      <c r="A10" s="76" t="s">
        <v>14</v>
      </c>
    </row>
    <row r="11" spans="1:2" s="9" customFormat="1" ht="31.5" x14ac:dyDescent="0.6">
      <c r="A11" s="73" t="s">
        <v>6</v>
      </c>
    </row>
    <row r="12" spans="1:2" ht="28.5" x14ac:dyDescent="0.2">
      <c r="A12" s="74" t="s">
        <v>13</v>
      </c>
    </row>
    <row r="13" spans="1:2" s="6" customFormat="1" ht="28.15" customHeight="1" x14ac:dyDescent="0.2">
      <c r="A13" s="76" t="s">
        <v>2</v>
      </c>
    </row>
    <row r="14" spans="1:2" s="9" customFormat="1" ht="31.5" x14ac:dyDescent="0.6">
      <c r="A14" s="73" t="s">
        <v>10</v>
      </c>
    </row>
    <row r="15" spans="1:2" ht="75" customHeight="1" x14ac:dyDescent="0.2">
      <c r="A15" s="74" t="s">
        <v>11</v>
      </c>
    </row>
    <row r="16" spans="1:2" ht="71.25" x14ac:dyDescent="0.2">
      <c r="A16" s="74" t="s">
        <v>12</v>
      </c>
    </row>
    <row r="17" spans="1:1" x14ac:dyDescent="0.2">
      <c r="A17" s="77"/>
    </row>
    <row r="18" spans="1:1" x14ac:dyDescent="0.2">
      <c r="A18" s="77"/>
    </row>
    <row r="19" spans="1:1" x14ac:dyDescent="0.2">
      <c r="A19" s="77"/>
    </row>
    <row r="20" spans="1:1" x14ac:dyDescent="0.2">
      <c r="A20" s="77"/>
    </row>
    <row r="21" spans="1:1" x14ac:dyDescent="0.2">
      <c r="A21" s="77"/>
    </row>
    <row r="22" spans="1:1" x14ac:dyDescent="0.2">
      <c r="A22" s="77"/>
    </row>
    <row r="23" spans="1:1" x14ac:dyDescent="0.2">
      <c r="A23" s="77"/>
    </row>
    <row r="24" spans="1:1" x14ac:dyDescent="0.2">
      <c r="A24" s="7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Sandra Aleksejeva</dc:creator>
  <dc:description/>
  <cp:lastModifiedBy>Sandra Aleksejeva</cp:lastModifiedBy>
  <dcterms:created xsi:type="dcterms:W3CDTF">2022-03-11T22:41:12Z</dcterms:created>
  <dcterms:modified xsi:type="dcterms:W3CDTF">2026-04-06T21:20:59Z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